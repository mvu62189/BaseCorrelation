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IS" sheetId="1" r:id="rId4"/>
  </sheets>
  <definedNames/>
  <calcPr/>
</workbook>
</file>

<file path=xl/sharedStrings.xml><?xml version="1.0" encoding="utf-8"?>
<sst xmlns="http://schemas.openxmlformats.org/spreadsheetml/2006/main" count="37" uniqueCount="37">
  <si>
    <t>Date</t>
  </si>
  <si>
    <t>S42 USD OIS Mid</t>
  </si>
  <si>
    <t>Bid</t>
  </si>
  <si>
    <t>Final Bid Rate</t>
  </si>
  <si>
    <t>Final Ask Rate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</si>
  <si>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</si>
  <si>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</si>
  <si>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</si>
  <si>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</si>
  <si>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</si>
  <si>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</si>
  <si>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</si>
  <si>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</si>
  <si>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</si>
  <si>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</si>
  <si>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</si>
  <si>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</si>
  <si>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</si>
  <si>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</si>
  <si>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</si>
  <si>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</si>
  <si>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</si>
  <si>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</si>
  <si>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</si>
  <si>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</si>
  <si>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</si>
  <si>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</si>
  <si>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</si>
  <si>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</si>
  <si>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</si>
  <si>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</si>
  <si>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</si>
  <si>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</si>
  <si>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</si>
  <si>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</si>
  <si>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40Y</t>
  </si>
  <si>
    <t>50Y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</si>
</sst>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>
      <c r="A2" s="1" t="s">
        <v>5</v>
      </c>
      <c r="B2" s="1">
        <f t="shared" ref="B2:B33" si="1">(E2+F2)/2</f>
        <v>3.89345026</v>
      </c>
      <c r="E2" s="2">
        <v>3.869650364</v>
      </c>
      <c r="F2" s="2">
        <v>3.917250156</v>
      </c>
    </row>
    <row r="3">
      <c r="A3" s="1" t="s">
        <v>6</v>
      </c>
      <c r="B3" s="1">
        <f t="shared" si="1"/>
        <v>3.795550346</v>
      </c>
      <c r="E3" s="2">
        <v>3.779965162</v>
      </c>
      <c r="F3" s="2">
        <v>3.81113553</v>
      </c>
    </row>
    <row r="4">
      <c r="A4" s="1" t="s">
        <v>7</v>
      </c>
      <c r="B4" s="1">
        <f t="shared" si="1"/>
        <v>3.746000052</v>
      </c>
      <c r="E4" s="2">
        <v>3.736068964</v>
      </c>
      <c r="F4" s="2">
        <v>3.755931139</v>
      </c>
    </row>
    <row r="5">
      <c r="A5" s="1" t="s">
        <v>8</v>
      </c>
      <c r="B5" s="1">
        <f t="shared" si="1"/>
        <v>3.724950314</v>
      </c>
      <c r="E5" s="2">
        <v>3.719967604</v>
      </c>
      <c r="F5" s="2">
        <v>3.729933023</v>
      </c>
    </row>
    <row r="6">
      <c r="A6" s="1" t="s">
        <v>9</v>
      </c>
      <c r="B6" s="1">
        <f t="shared" si="1"/>
        <v>3.697639942</v>
      </c>
      <c r="E6" s="2">
        <v>3.69294095</v>
      </c>
      <c r="F6" s="2">
        <v>3.702338934</v>
      </c>
    </row>
    <row r="7">
      <c r="A7" s="1" t="s">
        <v>10</v>
      </c>
      <c r="B7" s="1">
        <f t="shared" si="1"/>
        <v>3.674490452</v>
      </c>
      <c r="E7" s="2">
        <v>3.670292139</v>
      </c>
      <c r="F7" s="2">
        <v>3.678688765</v>
      </c>
    </row>
    <row r="8">
      <c r="A8" s="1" t="s">
        <v>11</v>
      </c>
      <c r="B8" s="1">
        <f t="shared" si="1"/>
        <v>3.653999806</v>
      </c>
      <c r="E8" s="2">
        <v>3.650152683</v>
      </c>
      <c r="F8" s="2">
        <v>3.657846928</v>
      </c>
    </row>
    <row r="9">
      <c r="A9" s="1" t="s">
        <v>12</v>
      </c>
      <c r="B9" s="1">
        <f t="shared" si="1"/>
        <v>3.633399963</v>
      </c>
      <c r="E9" s="2">
        <v>3.62913084</v>
      </c>
      <c r="F9" s="2">
        <v>3.637669086</v>
      </c>
    </row>
    <row r="10">
      <c r="A10" s="1" t="s">
        <v>13</v>
      </c>
      <c r="B10" s="1">
        <f t="shared" si="1"/>
        <v>3.614059925</v>
      </c>
      <c r="E10" s="2">
        <v>3.60991025</v>
      </c>
      <c r="F10" s="2">
        <v>3.6182096</v>
      </c>
    </row>
    <row r="11">
      <c r="A11" s="1" t="s">
        <v>14</v>
      </c>
      <c r="B11" s="1">
        <f t="shared" si="1"/>
        <v>3.591320038</v>
      </c>
      <c r="E11" s="2">
        <v>3.587851048</v>
      </c>
      <c r="F11" s="2">
        <v>3.594789028</v>
      </c>
    </row>
    <row r="12">
      <c r="A12" s="1" t="s">
        <v>15</v>
      </c>
      <c r="B12" s="1">
        <f t="shared" si="1"/>
        <v>3.564399958</v>
      </c>
      <c r="E12" s="2">
        <v>3.55984354</v>
      </c>
      <c r="F12" s="2">
        <v>3.568956375</v>
      </c>
    </row>
    <row r="13">
      <c r="A13" s="1" t="s">
        <v>16</v>
      </c>
      <c r="B13" s="1">
        <f t="shared" si="1"/>
        <v>3.534850121</v>
      </c>
      <c r="E13" s="2">
        <v>3.531339169</v>
      </c>
      <c r="F13" s="2">
        <v>3.538361073</v>
      </c>
    </row>
    <row r="14">
      <c r="A14" s="1" t="s">
        <v>17</v>
      </c>
      <c r="B14" s="1">
        <f t="shared" si="1"/>
        <v>3.506545067</v>
      </c>
      <c r="E14" s="2">
        <v>3.502337933</v>
      </c>
      <c r="F14" s="2">
        <v>3.510752201</v>
      </c>
    </row>
    <row r="15">
      <c r="A15" s="1" t="s">
        <v>18</v>
      </c>
      <c r="B15" s="1">
        <f t="shared" si="1"/>
        <v>3.482029915</v>
      </c>
      <c r="E15" s="2">
        <v>3.477407694</v>
      </c>
      <c r="F15" s="2">
        <v>3.486652136</v>
      </c>
    </row>
    <row r="16">
      <c r="A16" s="1" t="s">
        <v>19</v>
      </c>
      <c r="B16" s="1">
        <f t="shared" si="1"/>
        <v>3.456550122</v>
      </c>
      <c r="E16" s="2">
        <v>3.452581406</v>
      </c>
      <c r="F16" s="2">
        <v>3.460518837</v>
      </c>
    </row>
    <row r="17">
      <c r="A17" s="1" t="s">
        <v>20</v>
      </c>
      <c r="B17" s="1">
        <f t="shared" si="1"/>
        <v>3.31701994</v>
      </c>
      <c r="E17" s="2">
        <v>3.314238787</v>
      </c>
      <c r="F17" s="2">
        <v>3.319801092</v>
      </c>
    </row>
    <row r="18">
      <c r="A18" s="1" t="s">
        <v>21</v>
      </c>
      <c r="B18" s="1">
        <f t="shared" si="1"/>
        <v>3.261819637</v>
      </c>
      <c r="E18" s="2">
        <v>3.255610798</v>
      </c>
      <c r="F18" s="2">
        <v>3.268028476</v>
      </c>
    </row>
    <row r="19">
      <c r="A19" s="1" t="s">
        <v>22</v>
      </c>
      <c r="B19" s="1">
        <f t="shared" si="1"/>
        <v>3.236632143</v>
      </c>
      <c r="E19" s="2">
        <v>3.212548448</v>
      </c>
      <c r="F19" s="2">
        <v>3.260715837</v>
      </c>
    </row>
    <row r="20">
      <c r="A20" s="1" t="s">
        <v>23</v>
      </c>
      <c r="B20" s="1">
        <f t="shared" si="1"/>
        <v>3.264097643</v>
      </c>
      <c r="E20" s="2">
        <v>3.258081251</v>
      </c>
      <c r="F20" s="2">
        <v>3.270114034</v>
      </c>
    </row>
    <row r="21">
      <c r="A21" s="1" t="s">
        <v>24</v>
      </c>
      <c r="B21" s="1">
        <f t="shared" si="1"/>
        <v>3.311854745</v>
      </c>
      <c r="E21" s="2">
        <v>3.289613</v>
      </c>
      <c r="F21" s="2">
        <v>3.33409649</v>
      </c>
    </row>
    <row r="22">
      <c r="A22" s="1" t="s">
        <v>25</v>
      </c>
      <c r="B22" s="1">
        <f t="shared" si="1"/>
        <v>3.370280047</v>
      </c>
      <c r="E22" s="2">
        <v>3.360505556</v>
      </c>
      <c r="F22" s="2">
        <v>3.380054538</v>
      </c>
    </row>
    <row r="23">
      <c r="A23" s="1" t="s">
        <v>26</v>
      </c>
      <c r="B23" s="1">
        <f t="shared" si="1"/>
        <v>3.433616306</v>
      </c>
      <c r="E23" s="2">
        <v>3.425126768</v>
      </c>
      <c r="F23" s="2">
        <v>3.442105844</v>
      </c>
    </row>
    <row r="24">
      <c r="A24" s="1" t="s">
        <v>27</v>
      </c>
      <c r="B24" s="1">
        <f t="shared" si="1"/>
        <v>3.497754293</v>
      </c>
      <c r="E24" s="2">
        <v>3.488681847</v>
      </c>
      <c r="F24" s="2">
        <v>3.506826738</v>
      </c>
    </row>
    <row r="25">
      <c r="A25" s="1" t="s">
        <v>28</v>
      </c>
      <c r="B25" s="1">
        <f t="shared" si="1"/>
        <v>3.561330749</v>
      </c>
      <c r="E25" s="2">
        <v>3.544206923</v>
      </c>
      <c r="F25" s="2">
        <v>3.578454574</v>
      </c>
    </row>
    <row r="26">
      <c r="A26" s="1" t="s">
        <v>29</v>
      </c>
      <c r="B26" s="1">
        <f t="shared" si="1"/>
        <v>3.62212237</v>
      </c>
      <c r="E26" s="2">
        <v>3.618731895</v>
      </c>
      <c r="F26" s="2">
        <v>3.625512844</v>
      </c>
    </row>
    <row r="27">
      <c r="A27" s="1" t="s">
        <v>30</v>
      </c>
      <c r="B27" s="1">
        <f t="shared" si="1"/>
        <v>3.735869629</v>
      </c>
      <c r="E27" s="2">
        <v>3.714316163</v>
      </c>
      <c r="F27" s="2">
        <v>3.757423095</v>
      </c>
    </row>
    <row r="28">
      <c r="A28" s="1" t="s">
        <v>31</v>
      </c>
      <c r="B28" s="1">
        <f t="shared" si="1"/>
        <v>3.867065202</v>
      </c>
      <c r="E28" s="2">
        <v>3.851824677</v>
      </c>
      <c r="F28" s="2">
        <v>3.882305727</v>
      </c>
    </row>
    <row r="29">
      <c r="A29" s="1" t="s">
        <v>32</v>
      </c>
      <c r="B29" s="1">
        <f t="shared" si="1"/>
        <v>3.979689019</v>
      </c>
      <c r="E29" s="2">
        <v>3.964125144</v>
      </c>
      <c r="F29" s="2">
        <v>3.995252893</v>
      </c>
    </row>
    <row r="30">
      <c r="A30" s="1" t="s">
        <v>33</v>
      </c>
      <c r="B30" s="1">
        <f t="shared" si="1"/>
        <v>3.995623249</v>
      </c>
      <c r="E30" s="2">
        <v>3.979605217</v>
      </c>
      <c r="F30" s="2">
        <v>4.011641281</v>
      </c>
    </row>
    <row r="31">
      <c r="A31" s="1" t="s">
        <v>34</v>
      </c>
      <c r="B31" s="1">
        <f t="shared" si="1"/>
        <v>3.968565675</v>
      </c>
      <c r="E31" s="2">
        <v>3.945981387</v>
      </c>
      <c r="F31" s="2">
        <v>3.991149962</v>
      </c>
    </row>
    <row r="32">
      <c r="A32" s="1" t="s">
        <v>35</v>
      </c>
      <c r="B32" s="1">
        <f t="shared" si="1"/>
        <v>3.865733176</v>
      </c>
      <c r="E32" s="2">
        <v>3.852110476</v>
      </c>
      <c r="F32" s="2">
        <v>3.879355875</v>
      </c>
    </row>
    <row r="33">
      <c r="A33" s="1" t="s">
        <v>36</v>
      </c>
      <c r="B33" s="1">
        <f t="shared" si="1"/>
        <v>3.752306113</v>
      </c>
      <c r="E33" s="2">
        <v>3.736607206</v>
      </c>
      <c r="F33" s="2">
        <v>3.76800502</v>
      </c>
    </row>
  </sheetData>
  <drawing r:id="rId1"/>
</worksheet>
</file>